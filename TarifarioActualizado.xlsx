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alogos" sheetId="1" r:id="rId4"/>
    <sheet state="visible" name="Tarifario" sheetId="2" r:id="rId5"/>
    <sheet state="visible" name="Hoja 5" sheetId="3" r:id="rId6"/>
  </sheets>
  <definedNames/>
  <calcPr/>
</workbook>
</file>

<file path=xl/sharedStrings.xml><?xml version="1.0" encoding="utf-8"?>
<sst xmlns="http://schemas.openxmlformats.org/spreadsheetml/2006/main" count="71" uniqueCount="44">
  <si>
    <t>Nombre</t>
  </si>
  <si>
    <t>Cantidad</t>
  </si>
  <si>
    <t>ProrRateo en meses</t>
  </si>
  <si>
    <t>Costo  unitario</t>
  </si>
  <si>
    <t>Costo  mensual</t>
  </si>
  <si>
    <t>Botas de seguridad</t>
  </si>
  <si>
    <t>Transporte</t>
  </si>
  <si>
    <t>Casco</t>
  </si>
  <si>
    <t>Alimentación</t>
  </si>
  <si>
    <t>Guantes</t>
  </si>
  <si>
    <t>Telefono</t>
  </si>
  <si>
    <t>Camisas</t>
  </si>
  <si>
    <t>Combustible</t>
  </si>
  <si>
    <t>Gafas</t>
  </si>
  <si>
    <t>Depresiasión</t>
  </si>
  <si>
    <t>Cuchillas</t>
  </si>
  <si>
    <t>Ninguno</t>
  </si>
  <si>
    <t>Cinturon</t>
  </si>
  <si>
    <t>Chalecos de alta visibilidad</t>
  </si>
  <si>
    <t>Arneses de seguridad</t>
  </si>
  <si>
    <t>Protectores faciales</t>
  </si>
  <si>
    <t>Protección respiratoria</t>
  </si>
  <si>
    <t>Protectores térmicos</t>
  </si>
  <si>
    <t>Tarifario de costos de facturación por horas laboradas</t>
  </si>
  <si>
    <t>COSTOS UNITARIOS</t>
  </si>
  <si>
    <t>OTRA INFORMACIÓN</t>
  </si>
  <si>
    <t>Salario base</t>
  </si>
  <si>
    <t>Utilidad</t>
  </si>
  <si>
    <t>Gastos Oerativos</t>
  </si>
  <si>
    <t>Prestaciones</t>
  </si>
  <si>
    <t>Viáticos</t>
  </si>
  <si>
    <t>Epp</t>
  </si>
  <si>
    <t>Supervicion</t>
  </si>
  <si>
    <t>Cargos</t>
  </si>
  <si>
    <t>Seguros</t>
  </si>
  <si>
    <t>Costo mensual</t>
  </si>
  <si>
    <t>Costos Totales</t>
  </si>
  <si>
    <t>Costo diario</t>
  </si>
  <si>
    <t>Costo hora</t>
  </si>
  <si>
    <t>Costo extra</t>
  </si>
  <si>
    <t>EPP</t>
  </si>
  <si>
    <t>Viaticos</t>
  </si>
  <si>
    <t>Previsto</t>
  </si>
  <si>
    <t>Totales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</si>
</sst>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C$]#,##0.00"/>
    <numFmt numFmtId="165" formatCode="[$€]#,##0"/>
    <numFmt numFmtId="166" formatCode="#,##0\ [$€-1]"/>
  </numFmts>
  <fonts count="20">
    <font>
      <sz val="10.0"/>
      <color rgb="FF000000"/>
      <name val="Arial"/>
      <scheme val="minor"/>
    </font>
    <font>
      <color/>
      <name val="Arial"/>
    </font>
    <font/>
    <font>
      <sz val="12.0"/>
      <color/>
      <name val="Calibri"/>
    </font>
    <font>
      <b/>
      <sz val="30.0"/>
      <color rgb="FF0B5394"/>
      <name val="Roboto"/>
    </font>
    <font>
      <b/>
      <sz val="12.0"/>
      <color rgb="FF0B5394"/>
      <name val="Roboto"/>
    </font>
    <font>
      <b/>
      <color rgb="FF666666"/>
      <name val="Roboto"/>
    </font>
    <font>
      <b/>
      <sz val="8.0"/>
      <color rgb="FF000000"/>
      <name val="Roboto"/>
    </font>
    <font>
      <b/>
      <sz val="9.0"/>
      <color rgb="FFFFFFFF"/>
      <name val="Roboto"/>
    </font>
    <font>
      <color rgb="FFFFFFFF"/>
      <name val="Roboto"/>
    </font>
    <font>
      <color rgb="FF434343"/>
      <name val="Roboto"/>
    </font>
    <font>
      <sz val="9.0"/>
      <color/>
      <name val="Roboto"/>
    </font>
    <font>
      <b/>
      <sz val="9.0"/>
      <color/>
      <name val="Roboto"/>
    </font>
    <font>
      <b/>
      <sz val="9.0"/>
      <color/>
      <name val="Calibri"/>
    </font>
    <font>
      <b/>
      <sz val="17.0"/>
      <color rgb="FFF46524"/>
      <name val="Raleway"/>
    </font>
    <font>
      <b/>
      <sz val="11.0"/>
      <color rgb="FF334960"/>
      <name val="Lato"/>
    </font>
    <font>
      <b/>
      <i/>
      <sz val="10.0"/>
      <color rgb="FF687887"/>
      <name val="Roboto"/>
    </font>
    <font>
      <b/>
      <sz val="9.0"/>
      <color rgb="FF434343"/>
      <name val="Roboto"/>
    </font>
    <font>
      <sz val="9.0"/>
      <color rgb="FF434343"/>
      <name val="Roboto"/>
    </font>
    <font>
      <color rgb="FF434343"/>
      <name val="Lato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434343"/>
        <bgColor rgb="FF434343"/>
      </patternFill>
    </fill>
    <fill>
      <patternFill patternType="solid">
        <fgColor rgb="FFB7B7B7"/>
        <bgColor rgb="FFB7B7B7"/>
      </patternFill>
    </fill>
    <fill>
      <patternFill patternType="solid">
        <fgColor rgb="FF0B5394"/>
        <bgColor rgb="FF0B5394"/>
      </patternFill>
    </fill>
    <fill>
      <patternFill patternType="solid">
        <fgColor rgb="FFCFE2F3"/>
        <bgColor rgb="FFCFE2F3"/>
      </patternFill>
    </fill>
    <fill>
      <patternFill patternType="solid">
        <fgColor rgb="FFFCECE6"/>
        <bgColor rgb="FFFCECE6"/>
      </patternFill>
    </fill>
  </fills>
  <borders count="29">
    <border/>
    <border>
      <left style="thin">
        <color rgb="FF3E479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3E4791"/>
      </right>
      <top style="thin">
        <color rgb="FF3E4791"/>
      </top>
      <bottom style="thin">
        <color rgb="FF3E4791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3E4791"/>
      </bottom>
    </border>
    <border>
      <bottom style="thick">
        <color rgb="FF0B5394"/>
      </bottom>
    </border>
    <border>
      <bottom style="thin">
        <color rgb="FFD9D9D9"/>
      </bottom>
    </border>
    <border>
      <left style="thin">
        <color rgb="FF999999"/>
      </left>
    </border>
    <border>
      <right style="thin">
        <color rgb="FF999999"/>
      </right>
    </border>
    <border>
      <left style="thin">
        <color rgb="FF999999"/>
      </left>
      <bottom style="thin">
        <color rgb="FFB7B7B7"/>
      </bottom>
    </border>
    <border>
      <bottom style="thin">
        <color rgb="FFB7B7B7"/>
      </bottom>
    </border>
    <border>
      <bottom style="thin">
        <color rgb="FFFFFFFF"/>
      </bottom>
    </border>
    <border>
      <left style="thin">
        <color rgb="FF999999"/>
      </left>
      <bottom style="thin">
        <color rgb="FFFFFFFF"/>
      </bottom>
    </border>
    <border>
      <right style="thin">
        <color rgb="FFD9D9D9"/>
      </right>
    </border>
    <border>
      <left style="thin">
        <color rgb="FF999999"/>
      </left>
      <bottom style="hair">
        <color rgb="FF999999"/>
      </bottom>
    </border>
    <border>
      <bottom style="hair">
        <color rgb="FF999999"/>
      </bottom>
    </border>
    <border>
      <right style="thin">
        <color rgb="FFD9D9D9"/>
      </right>
      <bottom style="hair">
        <color rgb="FF999999"/>
      </bottom>
    </border>
    <border>
      <top style="thin">
        <color rgb="FFA7B0BF"/>
      </top>
    </border>
    <border>
      <bottom style="thin">
        <color rgb="FFA7B0B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horizontal="left" shrinkToFit="0" vertical="center" wrapText="1"/>
    </xf>
    <xf borderId="3" fillId="0" fontId="1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shrinkToFit="0" vertical="center" wrapText="0"/>
    </xf>
    <xf borderId="5" fillId="0" fontId="1" numFmtId="4" xfId="0" applyAlignment="1" applyBorder="1" applyFont="1" applyNumberFormat="1">
      <alignment shrinkToFit="0" vertical="center" wrapText="0"/>
    </xf>
    <xf borderId="5" fillId="0" fontId="1" numFmtId="164" xfId="0" applyAlignment="1" applyBorder="1" applyFont="1" applyNumberFormat="1">
      <alignment shrinkToFit="0" vertical="center" wrapText="0"/>
    </xf>
    <xf borderId="6" fillId="0" fontId="1" numFmtId="164" xfId="0" applyAlignment="1" applyBorder="1" applyFont="1" applyNumberFormat="1">
      <alignment shrinkToFit="0" vertical="center" wrapText="0"/>
    </xf>
    <xf borderId="0" fillId="0" fontId="1" numFmtId="0" xfId="0" applyAlignment="1" applyFont="1">
      <alignment shrinkToFit="0" wrapText="0"/>
    </xf>
    <xf borderId="6" fillId="0" fontId="1" numFmtId="4" xfId="0" applyAlignment="1" applyBorder="1" applyFont="1" applyNumberFormat="1">
      <alignment shrinkToFit="0" vertical="center" wrapText="0"/>
    </xf>
    <xf borderId="7" fillId="0" fontId="1" numFmtId="49" xfId="0" applyAlignment="1" applyBorder="1" applyFont="1" applyNumberFormat="1">
      <alignment shrinkToFit="0" vertical="center" wrapText="0"/>
    </xf>
    <xf borderId="8" fillId="0" fontId="1" numFmtId="4" xfId="0" applyAlignment="1" applyBorder="1" applyFont="1" applyNumberFormat="1">
      <alignment shrinkToFit="0" vertical="center" wrapText="0"/>
    </xf>
    <xf borderId="8" fillId="0" fontId="1" numFmtId="164" xfId="0" applyAlignment="1" applyBorder="1" applyFont="1" applyNumberFormat="1">
      <alignment shrinkToFit="0" vertical="center" wrapText="0"/>
    </xf>
    <xf borderId="9" fillId="0" fontId="1" numFmtId="164" xfId="0" applyAlignment="1" applyBorder="1" applyFont="1" applyNumberFormat="1">
      <alignment shrinkToFit="0" vertical="center" wrapText="0"/>
    </xf>
    <xf borderId="9" fillId="0" fontId="1" numFmtId="4" xfId="0" applyAlignment="1" applyBorder="1" applyFont="1" applyNumberFormat="1">
      <alignment shrinkToFit="0" vertical="center" wrapText="0"/>
    </xf>
    <xf borderId="4" fillId="0" fontId="1" numFmtId="49" xfId="0" applyAlignment="1" applyBorder="1" applyFont="1" applyNumberForma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0" fillId="0" fontId="2" numFmtId="0" xfId="0" applyFont="1"/>
    <xf borderId="10" fillId="0" fontId="1" numFmtId="49" xfId="0" applyAlignment="1" applyBorder="1" applyFont="1" applyNumberFormat="1">
      <alignment shrinkToFit="0" vertical="center" wrapText="0"/>
    </xf>
    <xf borderId="11" fillId="0" fontId="1" numFmtId="4" xfId="0" applyAlignment="1" applyBorder="1" applyFont="1" applyNumberFormat="1">
      <alignment shrinkToFit="0" vertical="center" wrapText="0"/>
    </xf>
    <xf borderId="11" fillId="0" fontId="1" numFmtId="164" xfId="0" applyAlignment="1" applyBorder="1" applyFont="1" applyNumberFormat="1">
      <alignment shrinkToFit="0" vertical="center" wrapText="0"/>
    </xf>
    <xf borderId="12" fillId="0" fontId="1" numFmtId="164" xfId="0" applyAlignment="1" applyBorder="1" applyFont="1" applyNumberFormat="1">
      <alignment shrinkToFit="0" vertical="center" wrapText="0"/>
    </xf>
    <xf borderId="0" fillId="2" fontId="3" numFmtId="0" xfId="0" applyFill="1" applyFont="1"/>
    <xf borderId="0" fillId="0" fontId="3" numFmtId="0" xfId="0" applyFont="1"/>
    <xf borderId="13" fillId="2" fontId="4" numFmtId="0" xfId="0" applyAlignment="1" applyBorder="1" applyFont="1">
      <alignment shrinkToFit="0" wrapText="1"/>
    </xf>
    <xf borderId="13" fillId="0" fontId="2" numFmtId="0" xfId="0" applyBorder="1" applyFont="1"/>
    <xf borderId="13" fillId="2" fontId="5" numFmtId="0" xfId="0" applyAlignment="1" applyBorder="1" applyFont="1">
      <alignment shrinkToFit="0" wrapText="1"/>
    </xf>
    <xf borderId="0" fillId="0" fontId="6" numFmtId="0" xfId="0" applyAlignment="1" applyFont="1">
      <alignment horizontal="center" vertical="center"/>
    </xf>
    <xf borderId="14" fillId="0" fontId="2" numFmtId="0" xfId="0" applyBorder="1" applyFont="1"/>
    <xf borderId="0" fillId="3" fontId="7" numFmtId="0" xfId="0" applyAlignment="1" applyFill="1" applyFont="1">
      <alignment shrinkToFit="0" wrapText="1"/>
    </xf>
    <xf borderId="15" fillId="4" fontId="8" numFmtId="0" xfId="0" applyAlignment="1" applyBorder="1" applyFill="1" applyFont="1">
      <alignment horizontal="left"/>
    </xf>
    <xf borderId="0" fillId="4" fontId="8" numFmtId="0" xfId="0" applyAlignment="1" applyFont="1">
      <alignment horizontal="left" readingOrder="0"/>
    </xf>
    <xf borderId="0" fillId="4" fontId="8" numFmtId="0" xfId="0" applyAlignment="1" applyFont="1">
      <alignment horizontal="left"/>
    </xf>
    <xf borderId="16" fillId="4" fontId="8" numFmtId="0" xfId="0" applyAlignment="1" applyBorder="1" applyFont="1">
      <alignment horizontal="left" readingOrder="0"/>
    </xf>
    <xf borderId="17" fillId="5" fontId="8" numFmtId="0" xfId="0" applyAlignment="1" applyBorder="1" applyFill="1" applyFont="1">
      <alignment horizontal="center"/>
    </xf>
    <xf borderId="18" fillId="0" fontId="2" numFmtId="0" xfId="0" applyBorder="1" applyFont="1"/>
    <xf borderId="19" fillId="6" fontId="9" numFmtId="0" xfId="0" applyBorder="1" applyFill="1" applyFont="1"/>
    <xf borderId="19" fillId="0" fontId="2" numFmtId="0" xfId="0" applyBorder="1" applyFont="1"/>
    <xf borderId="20" fillId="6" fontId="8" numFmtId="0" xfId="0" applyAlignment="1" applyBorder="1" applyFont="1">
      <alignment horizontal="center"/>
    </xf>
    <xf borderId="0" fillId="2" fontId="10" numFmtId="0" xfId="0" applyAlignment="1" applyFont="1">
      <alignment shrinkToFit="0" wrapText="1"/>
    </xf>
    <xf borderId="21" fillId="0" fontId="2" numFmtId="0" xfId="0" applyBorder="1" applyFont="1"/>
    <xf borderId="22" fillId="2" fontId="11" numFmtId="2" xfId="0" applyBorder="1" applyFont="1" applyNumberFormat="1"/>
    <xf borderId="22" fillId="2" fontId="11" numFmtId="2" xfId="0" applyAlignment="1" applyBorder="1" applyFont="1" applyNumberFormat="1">
      <alignment readingOrder="0"/>
    </xf>
    <xf borderId="22" fillId="7" fontId="12" numFmtId="0" xfId="0" applyAlignment="1" applyBorder="1" applyFill="1" applyFont="1">
      <alignment horizontal="center"/>
    </xf>
    <xf borderId="23" fillId="7" fontId="13" numFmtId="0" xfId="0" applyAlignment="1" applyBorder="1" applyFont="1">
      <alignment horizontal="center"/>
    </xf>
    <xf borderId="24" fillId="7" fontId="13" numFmtId="0" xfId="0" applyAlignment="1" applyBorder="1" applyFont="1">
      <alignment horizontal="center"/>
    </xf>
    <xf borderId="23" fillId="0" fontId="2" numFmtId="0" xfId="0" applyBorder="1" applyFont="1"/>
    <xf borderId="24" fillId="0" fontId="2" numFmtId="0" xfId="0" applyBorder="1" applyFont="1"/>
    <xf borderId="22" fillId="2" fontId="12" numFmtId="2" xfId="0" applyBorder="1" applyFont="1" applyNumberFormat="1"/>
    <xf borderId="0" fillId="0" fontId="14" numFmtId="165" xfId="0" applyAlignment="1" applyFont="1" applyNumberFormat="1">
      <alignment vertical="top"/>
    </xf>
    <xf borderId="25" fillId="0" fontId="15" numFmtId="165" xfId="0" applyAlignment="1" applyBorder="1" applyFont="1" applyNumberFormat="1">
      <alignment horizontal="right" vertical="bottom"/>
    </xf>
    <xf borderId="25" fillId="0" fontId="2" numFmtId="0" xfId="0" applyBorder="1" applyFont="1"/>
    <xf borderId="26" fillId="0" fontId="16" numFmtId="165" xfId="0" applyAlignment="1" applyBorder="1" applyFont="1" applyNumberFormat="1">
      <alignment vertical="top"/>
    </xf>
    <xf borderId="26" fillId="0" fontId="2" numFmtId="0" xfId="0" applyBorder="1" applyFont="1"/>
    <xf borderId="26" fillId="0" fontId="16" numFmtId="4" xfId="0" applyAlignment="1" applyBorder="1" applyFont="1" applyNumberFormat="1">
      <alignment horizontal="right" vertical="top"/>
    </xf>
    <xf borderId="0" fillId="0" fontId="16" numFmtId="165" xfId="0" applyAlignment="1" applyFont="1" applyNumberFormat="1">
      <alignment vertical="top"/>
    </xf>
    <xf borderId="27" fillId="8" fontId="17" numFmtId="165" xfId="0" applyBorder="1" applyFill="1" applyFont="1" applyNumberFormat="1"/>
    <xf borderId="28" fillId="0" fontId="2" numFmtId="0" xfId="0" applyBorder="1" applyFont="1"/>
    <xf borderId="5" fillId="8" fontId="18" numFmtId="4" xfId="0" applyAlignment="1" applyBorder="1" applyFont="1" applyNumberFormat="1">
      <alignment horizontal="right"/>
    </xf>
    <xf borderId="0" fillId="0" fontId="19" numFmtId="166" xfId="0" applyAlignment="1" applyFont="1" applyNumberFormat="1">
      <alignment horizontal="righ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Catalogos-style">
      <tableStyleElement dxfId="1" type="headerRow"/>
      <tableStyleElement dxfId="2" type="firstRowStripe"/>
      <tableStyleElement dxfId="3" type="secondRowStripe"/>
    </tableStyle>
    <tableStyle count="3" pivot="0" name="Catalogos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3" displayName="Table_1" name="Table_1" id="1">
  <tableColumns count="5">
    <tableColumn name="Nombre" id="1"/>
    <tableColumn name="Cantidad" id="2"/>
    <tableColumn name="ProrRateo en meses" id="3"/>
    <tableColumn name="Costo  unitario" id="4"/>
    <tableColumn name="Costo  mensual" id="5"/>
  </tableColumns>
  <tableStyleInfo name="Catalogos-style" showColumnStripes="0" showFirstColumn="1" showLastColumn="1" showRowStripes="1"/>
</table>
</file>

<file path=xl/tables/table2.xml><?xml version="1.0" encoding="utf-8"?>
<table xmlns="http://schemas.openxmlformats.org/spreadsheetml/2006/main" ref="H1:I13" displayName="Table_2" name="Table_2" id="2">
  <tableColumns count="2">
    <tableColumn name="Nombre" id="1"/>
    <tableColumn name="Cantidad" id="2"/>
  </tableColumns>
  <tableStyleInfo name="Catalogo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43"/>
    <col customWidth="1" min="2" max="2" width="12.71"/>
    <col customWidth="1" min="3" max="3" width="17.43"/>
    <col customWidth="1" min="4" max="4" width="16.86"/>
    <col customWidth="1" min="5" max="5" width="15.29"/>
    <col customWidth="1" min="6" max="11" width="12.57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H1" s="1" t="s">
        <v>0</v>
      </c>
      <c r="I1" s="3" t="s">
        <v>1</v>
      </c>
    </row>
    <row r="2" ht="15.75" customHeight="1">
      <c r="A2" s="4" t="s">
        <v>5</v>
      </c>
      <c r="B2" s="5">
        <v>1.0</v>
      </c>
      <c r="C2" s="5">
        <v>12.0</v>
      </c>
      <c r="D2" s="6">
        <v>2500.0</v>
      </c>
      <c r="E2" s="7" t="str">
        <f t="shared" ref="E2:E13" si="1">D2/C2</f>
        <v>C$208.33</v>
      </c>
      <c r="G2" s="8"/>
      <c r="H2" s="4" t="s">
        <v>6</v>
      </c>
      <c r="I2" s="9">
        <v>800.0</v>
      </c>
    </row>
    <row r="3" ht="15.75" customHeight="1">
      <c r="A3" s="10" t="s">
        <v>7</v>
      </c>
      <c r="B3" s="11">
        <v>1.0</v>
      </c>
      <c r="C3" s="11">
        <v>6.0</v>
      </c>
      <c r="D3" s="12">
        <v>500.0</v>
      </c>
      <c r="E3" s="13" t="str">
        <f t="shared" si="1"/>
        <v>C$83.33</v>
      </c>
      <c r="H3" s="10" t="s">
        <v>8</v>
      </c>
      <c r="I3" s="14">
        <v>1000.0</v>
      </c>
    </row>
    <row r="4" ht="15.75" customHeight="1">
      <c r="A4" s="15" t="s">
        <v>9</v>
      </c>
      <c r="B4" s="5">
        <v>2.0</v>
      </c>
      <c r="C4" s="5">
        <v>4.0</v>
      </c>
      <c r="D4" s="6">
        <v>650.0</v>
      </c>
      <c r="E4" s="7" t="str">
        <f t="shared" si="1"/>
        <v>C$162.50</v>
      </c>
      <c r="H4" s="15" t="s">
        <v>10</v>
      </c>
      <c r="I4" s="9">
        <v>250.0</v>
      </c>
    </row>
    <row r="5" ht="15.75" customHeight="1">
      <c r="A5" s="10" t="s">
        <v>11</v>
      </c>
      <c r="B5" s="11">
        <v>3.0</v>
      </c>
      <c r="C5" s="11">
        <v>4.0</v>
      </c>
      <c r="D5" s="12">
        <v>450.0</v>
      </c>
      <c r="E5" s="13" t="str">
        <f t="shared" si="1"/>
        <v>C$112.50</v>
      </c>
      <c r="H5" s="10" t="s">
        <v>12</v>
      </c>
      <c r="I5" s="14">
        <v>0.0</v>
      </c>
    </row>
    <row r="6" ht="15.75" customHeight="1">
      <c r="A6" s="15" t="s">
        <v>13</v>
      </c>
      <c r="B6" s="5">
        <v>2.0</v>
      </c>
      <c r="C6" s="5">
        <v>4.0</v>
      </c>
      <c r="D6" s="6">
        <v>900.0</v>
      </c>
      <c r="E6" s="7" t="str">
        <f t="shared" si="1"/>
        <v>C$225.00</v>
      </c>
      <c r="H6" s="15" t="s">
        <v>14</v>
      </c>
      <c r="I6" s="9">
        <v>0.0</v>
      </c>
    </row>
    <row r="7" ht="15.75" customHeight="1">
      <c r="A7" s="10" t="s">
        <v>15</v>
      </c>
      <c r="B7" s="11">
        <v>1.0</v>
      </c>
      <c r="C7" s="11">
        <v>3.0</v>
      </c>
      <c r="D7" s="12">
        <v>200.0</v>
      </c>
      <c r="E7" s="13" t="str">
        <f t="shared" si="1"/>
        <v>C$66.67</v>
      </c>
      <c r="H7" s="10" t="s">
        <v>16</v>
      </c>
      <c r="I7" s="16">
        <v>0.0</v>
      </c>
    </row>
    <row r="8" ht="15.75" customHeight="1">
      <c r="A8" s="15" t="s">
        <v>17</v>
      </c>
      <c r="B8" s="5">
        <v>1.0</v>
      </c>
      <c r="C8" s="5">
        <v>8.0</v>
      </c>
      <c r="D8" s="6">
        <v>750.0</v>
      </c>
      <c r="E8" s="7" t="str">
        <f t="shared" si="1"/>
        <v>C$93.75</v>
      </c>
      <c r="H8" s="15"/>
      <c r="I8" s="17"/>
    </row>
    <row r="9" ht="15.75" customHeight="1">
      <c r="A9" s="10" t="s">
        <v>18</v>
      </c>
      <c r="B9" s="11">
        <v>1.0</v>
      </c>
      <c r="C9" s="11">
        <v>4.0</v>
      </c>
      <c r="D9" s="12">
        <v>250.0</v>
      </c>
      <c r="E9" s="13" t="str">
        <f t="shared" si="1"/>
        <v>C$62.50</v>
      </c>
      <c r="H9" s="10"/>
      <c r="I9" s="17"/>
    </row>
    <row r="10" ht="15.75" customHeight="1">
      <c r="A10" s="15" t="s">
        <v>19</v>
      </c>
      <c r="B10" s="5">
        <v>1.0</v>
      </c>
      <c r="C10" s="5">
        <v>6.0</v>
      </c>
      <c r="D10" s="6">
        <v>600.0</v>
      </c>
      <c r="E10" s="7" t="str">
        <f t="shared" si="1"/>
        <v>C$100.00</v>
      </c>
      <c r="H10" s="15"/>
      <c r="I10" s="17"/>
    </row>
    <row r="11" ht="15.75" customHeight="1">
      <c r="A11" s="10" t="s">
        <v>20</v>
      </c>
      <c r="B11" s="11">
        <v>1.0</v>
      </c>
      <c r="C11" s="11">
        <v>6.0</v>
      </c>
      <c r="D11" s="12">
        <v>800.0</v>
      </c>
      <c r="E11" s="13" t="str">
        <f t="shared" si="1"/>
        <v>C$133.33</v>
      </c>
      <c r="H11" s="10"/>
      <c r="I11" s="17"/>
    </row>
    <row r="12" ht="15.75" customHeight="1">
      <c r="A12" s="15" t="s">
        <v>21</v>
      </c>
      <c r="B12" s="5">
        <v>1.0</v>
      </c>
      <c r="C12" s="5">
        <v>6.0</v>
      </c>
      <c r="D12" s="6">
        <v>1500.0</v>
      </c>
      <c r="E12" s="7" t="str">
        <f t="shared" si="1"/>
        <v>C$250.00</v>
      </c>
      <c r="H12" s="15"/>
      <c r="I12" s="17"/>
    </row>
    <row r="13" ht="15.75" customHeight="1">
      <c r="A13" s="18" t="s">
        <v>22</v>
      </c>
      <c r="B13" s="19">
        <v>1.0</v>
      </c>
      <c r="C13" s="19">
        <v>12.0</v>
      </c>
      <c r="D13" s="20">
        <v>6000.0</v>
      </c>
      <c r="E13" s="21" t="str">
        <f t="shared" si="1"/>
        <v>C$500.00</v>
      </c>
      <c r="H13" s="18"/>
      <c r="I13" s="17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custom" allowBlank="1" showDropDown="1" sqref="C2:E13">
      <formula1>AND(ISNUMBER(C2),(NOT(OR(NOT(ISERROR(DATEVALUE(C2))), AND(ISNUMBER(C2), LEFT(CELL("format", C2))="D")))))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3" width="12.57"/>
  </cols>
  <sheetData>
    <row r="1" ht="15.75" customHeight="1">
      <c r="A1" s="22"/>
      <c r="B1" s="22"/>
      <c r="C1" s="22"/>
      <c r="D1" s="22"/>
      <c r="E1" s="23"/>
      <c r="F1" s="23"/>
      <c r="G1" s="22"/>
      <c r="H1" s="22"/>
      <c r="I1" s="22"/>
      <c r="J1" s="22"/>
      <c r="K1" s="23"/>
      <c r="L1" s="22"/>
      <c r="M1" s="22"/>
    </row>
    <row r="2" ht="15.75" customHeight="1">
      <c r="A2" s="24" t="s">
        <v>23</v>
      </c>
      <c r="B2" s="25"/>
      <c r="C2" s="25"/>
      <c r="D2" s="25"/>
      <c r="E2" s="25"/>
      <c r="F2" s="25"/>
      <c r="G2" s="25"/>
      <c r="H2" s="26"/>
      <c r="I2" s="25"/>
      <c r="J2" s="25"/>
      <c r="K2" s="25"/>
      <c r="L2" s="25"/>
      <c r="M2" s="25"/>
    </row>
    <row r="3" ht="15.75" customHeight="1">
      <c r="A3" s="23"/>
      <c r="H3" s="22"/>
    </row>
    <row r="4" ht="15.75" customHeight="1">
      <c r="H4" s="27" t="s">
        <v>24</v>
      </c>
    </row>
    <row r="5" ht="15.75" customHeight="1">
      <c r="H5" s="28"/>
      <c r="I5" s="28"/>
      <c r="J5" s="28"/>
      <c r="K5" s="28"/>
      <c r="L5" s="28"/>
      <c r="M5" s="28"/>
    </row>
    <row r="6" ht="15.75" customHeight="1">
      <c r="A6" s="29" t="s">
        <v>1</v>
      </c>
      <c r="C6" s="29" t="s">
        <v>25</v>
      </c>
      <c r="H6" s="30" t="s">
        <v>26</v>
      </c>
      <c r="I6" s="31">
        <v>8341.0</v>
      </c>
      <c r="J6" s="32"/>
      <c r="K6" s="32"/>
      <c r="L6" s="32" t="s">
        <v>27</v>
      </c>
      <c r="M6" s="33">
        <v>20.0</v>
      </c>
    </row>
    <row r="7" ht="15.75" customHeight="1">
      <c r="H7" s="34" t="s">
        <v>28</v>
      </c>
      <c r="I7" s="35"/>
      <c r="J7" s="35"/>
      <c r="K7" s="35"/>
      <c r="L7" s="35"/>
      <c r="M7" s="35"/>
    </row>
    <row r="8" ht="15.75" customHeight="1">
      <c r="A8" s="36"/>
      <c r="B8" s="37"/>
      <c r="C8" s="37"/>
      <c r="D8" s="37"/>
      <c r="E8" s="37"/>
      <c r="F8" s="37"/>
      <c r="G8" s="37"/>
      <c r="H8" s="38" t="s">
        <v>29</v>
      </c>
      <c r="I8" s="38" t="s">
        <v>30</v>
      </c>
      <c r="J8" s="38" t="s">
        <v>31</v>
      </c>
      <c r="K8" s="38" t="s">
        <v>32</v>
      </c>
      <c r="L8" s="38" t="s">
        <v>33</v>
      </c>
      <c r="M8" s="38" t="s">
        <v>34</v>
      </c>
    </row>
    <row r="9" ht="15.75" customHeight="1">
      <c r="A9" s="39"/>
      <c r="C9" s="39"/>
      <c r="G9" s="40"/>
      <c r="H9" s="41" t="str">
        <f>(I6*0.72)</f>
        <v>6005.52</v>
      </c>
      <c r="I9" s="41" t="str">
        <f>G16</f>
        <v>1800.00</v>
      </c>
      <c r="J9" s="41" t="str">
        <f>C16</f>
        <v>1402.08</v>
      </c>
      <c r="K9" s="41">
        <v>1000.0</v>
      </c>
      <c r="L9" s="41">
        <v>500.0</v>
      </c>
      <c r="M9" s="42">
        <v>300.0</v>
      </c>
    </row>
    <row r="10" ht="15.75" customHeight="1">
      <c r="G10" s="40"/>
      <c r="H10" s="43" t="s">
        <v>35</v>
      </c>
      <c r="I10" s="44" t="s">
        <v>27</v>
      </c>
      <c r="J10" s="44" t="s">
        <v>36</v>
      </c>
      <c r="K10" s="44" t="s">
        <v>37</v>
      </c>
      <c r="L10" s="44" t="s">
        <v>38</v>
      </c>
      <c r="M10" s="45" t="s">
        <v>39</v>
      </c>
    </row>
    <row r="11" ht="15.75" customHeight="1">
      <c r="A11" s="46"/>
      <c r="B11" s="46"/>
      <c r="C11" s="46"/>
      <c r="D11" s="46"/>
      <c r="E11" s="46"/>
      <c r="F11" s="46"/>
      <c r="G11" s="47"/>
      <c r="H11" s="48" t="str">
        <f>H9+I9+J9+K9+L9+M9+I6</f>
        <v>19348.60</v>
      </c>
      <c r="I11" s="48" t="str">
        <f>(I6/(1-(M6/100)))-I6</f>
        <v>2085.25</v>
      </c>
      <c r="J11" s="48" t="str">
        <f>H11+I11</f>
        <v>21433.85</v>
      </c>
      <c r="K11" s="48" t="str">
        <f>J11/30</f>
        <v>714.46</v>
      </c>
      <c r="L11" s="48" t="str">
        <f>K11/8</f>
        <v>89.31</v>
      </c>
      <c r="M11" s="48" t="str">
        <f>((I6/30)/8)+L11</f>
        <v>124.06</v>
      </c>
    </row>
    <row r="12" ht="15.75" customHeight="1"/>
    <row r="13" ht="15.75" customHeight="1"/>
    <row r="14" ht="15.75" customHeight="1">
      <c r="A14" s="49" t="s">
        <v>40</v>
      </c>
      <c r="E14" s="49" t="s">
        <v>41</v>
      </c>
    </row>
    <row r="15" ht="15.75" customHeight="1">
      <c r="A15" s="50" t="s">
        <v>42</v>
      </c>
      <c r="B15" s="51"/>
      <c r="C15" s="51"/>
      <c r="E15" s="50" t="s">
        <v>42</v>
      </c>
      <c r="F15" s="51"/>
      <c r="G15" s="51"/>
    </row>
    <row r="16" ht="15.75" customHeight="1">
      <c r="A16" s="52" t="s">
        <v>43</v>
      </c>
      <c r="B16" s="53"/>
      <c r="C16" s="54" t="str">
        <f>SUM(C17:C989)</f>
        <v>1,402.08</v>
      </c>
      <c r="E16" s="55" t="s">
        <v>43</v>
      </c>
      <c r="G16" s="54" t="str">
        <f>SUM(G17:G989)</f>
        <v>1,800.00</v>
      </c>
    </row>
    <row r="17" ht="15.75" customHeight="1">
      <c r="A17" s="56" t="s">
        <v>9</v>
      </c>
      <c r="B17" s="57"/>
      <c r="C17" s="58" t="str">
        <f>VLOOKUP(A17,Catalogos!$A$2:$E$13,5,FALSE)</f>
        <v>162.50</v>
      </c>
      <c r="D17" s="59" t="str">
        <f t="shared" ref="D17:D23" si="1">IF(ISBLANK($B17), "", SUMIF(Transacciones!$E:$E,$B17,Transacciones!$C:$C))</f>
        <v/>
      </c>
      <c r="E17" s="56" t="s">
        <v>6</v>
      </c>
      <c r="F17" s="57"/>
      <c r="G17" s="58" t="str">
        <f>VLOOKUP(E17,Catalogos!$H$2:$I$13,2,FALSE)</f>
        <v>800.00</v>
      </c>
    </row>
    <row r="18" ht="15.75" customHeight="1">
      <c r="A18" s="56" t="s">
        <v>11</v>
      </c>
      <c r="B18" s="57"/>
      <c r="C18" s="58" t="str">
        <f>VLOOKUP(A18,Catalogos!$A$2:$E$13,5,FALSE)</f>
        <v>112.50</v>
      </c>
      <c r="D18" s="59" t="str">
        <f t="shared" si="1"/>
        <v/>
      </c>
      <c r="E18" s="56" t="s">
        <v>8</v>
      </c>
      <c r="F18" s="57"/>
      <c r="G18" s="58" t="str">
        <f>VLOOKUP(E18,Catalogos!$H$2:$I$13,2,FALSE)</f>
        <v>1,000.00</v>
      </c>
    </row>
    <row r="19" ht="15.75" customHeight="1">
      <c r="A19" s="56" t="s">
        <v>5</v>
      </c>
      <c r="B19" s="57"/>
      <c r="C19" s="58" t="str">
        <f>VLOOKUP(A19,Catalogos!$A$2:$E$13,5,FALSE)</f>
        <v>208.33</v>
      </c>
      <c r="D19" s="59" t="str">
        <f t="shared" si="1"/>
        <v/>
      </c>
      <c r="E19" s="56" t="s">
        <v>16</v>
      </c>
      <c r="F19" s="57"/>
      <c r="G19" s="58" t="str">
        <f>VLOOKUP(E19,Catalogos!$H$2:$I$13,2,FALSE)</f>
        <v>0.00</v>
      </c>
    </row>
    <row r="20" ht="15.75" customHeight="1">
      <c r="A20" s="56" t="s">
        <v>13</v>
      </c>
      <c r="B20" s="57"/>
      <c r="C20" s="58" t="str">
        <f>VLOOKUP(A20,Catalogos!$A$2:$E$13,5,FALSE)</f>
        <v>225.00</v>
      </c>
      <c r="D20" s="59" t="str">
        <f t="shared" si="1"/>
        <v/>
      </c>
      <c r="E20" s="56" t="s">
        <v>16</v>
      </c>
      <c r="F20" s="57"/>
      <c r="G20" s="58" t="str">
        <f>VLOOKUP(E20,Catalogos!$H$2:$I$13,2,FALSE)</f>
        <v>0.00</v>
      </c>
    </row>
    <row r="21" ht="15.75" customHeight="1">
      <c r="A21" s="56" t="s">
        <v>17</v>
      </c>
      <c r="B21" s="57"/>
      <c r="C21" s="58" t="str">
        <f>VLOOKUP(A21,Catalogos!$A$2:$E$13,5,FALSE)</f>
        <v>93.75</v>
      </c>
      <c r="D21" s="59" t="str">
        <f t="shared" si="1"/>
        <v/>
      </c>
      <c r="E21" s="56" t="s">
        <v>16</v>
      </c>
      <c r="F21" s="57"/>
      <c r="G21" s="58" t="str">
        <f>VLOOKUP(E21,Catalogos!$H$2:$I$13,2,FALSE)</f>
        <v>0.00</v>
      </c>
    </row>
    <row r="22" ht="15.75" customHeight="1">
      <c r="A22" s="56" t="s">
        <v>22</v>
      </c>
      <c r="B22" s="57"/>
      <c r="C22" s="58" t="str">
        <f>VLOOKUP(A22,Catalogos!$A$2:$E$13,5,FALSE)</f>
        <v>500.00</v>
      </c>
      <c r="D22" s="59" t="str">
        <f t="shared" si="1"/>
        <v/>
      </c>
      <c r="E22" s="56" t="s">
        <v>16</v>
      </c>
      <c r="F22" s="57"/>
      <c r="G22" s="58" t="str">
        <f>VLOOKUP(E22,Catalogos!$H$2:$I$13,2,FALSE)</f>
        <v>0.00</v>
      </c>
    </row>
    <row r="23" ht="15.75" customHeight="1">
      <c r="A23" s="56" t="s">
        <v>19</v>
      </c>
      <c r="B23" s="57"/>
      <c r="C23" s="58" t="str">
        <f>VLOOKUP(A23,Catalogos!$A$2:$E$13,5,FALSE)</f>
        <v>100.00</v>
      </c>
      <c r="D23" s="59" t="str">
        <f t="shared" si="1"/>
        <v/>
      </c>
      <c r="E23" s="56" t="s">
        <v>16</v>
      </c>
      <c r="F23" s="57"/>
      <c r="G23" s="58" t="str">
        <f>VLOOKUP(E23,Catalogos!$H$2:$I$13,2,FALSE)</f>
        <v>0.00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1">
    <mergeCell ref="H3:M3"/>
    <mergeCell ref="H4:M5"/>
    <mergeCell ref="A21:B21"/>
    <mergeCell ref="A22:B22"/>
    <mergeCell ref="A23:B23"/>
    <mergeCell ref="E18:F18"/>
    <mergeCell ref="E14:G14"/>
    <mergeCell ref="E15:G15"/>
    <mergeCell ref="E16:F16"/>
    <mergeCell ref="E17:F17"/>
    <mergeCell ref="E19:F19"/>
    <mergeCell ref="E20:F20"/>
    <mergeCell ref="E21:F21"/>
    <mergeCell ref="E22:F22"/>
    <mergeCell ref="E23:F23"/>
    <mergeCell ref="H2:M2"/>
    <mergeCell ref="H7:M7"/>
    <mergeCell ref="A6:B7"/>
    <mergeCell ref="C6:G7"/>
    <mergeCell ref="A14:C14"/>
    <mergeCell ref="A9:B11"/>
    <mergeCell ref="A17:B17"/>
    <mergeCell ref="A15:C15"/>
    <mergeCell ref="A16:B16"/>
    <mergeCell ref="A2:G2"/>
    <mergeCell ref="A3:G5"/>
    <mergeCell ref="A18:B18"/>
    <mergeCell ref="A19:B19"/>
    <mergeCell ref="A20:B20"/>
    <mergeCell ref="A8:G8"/>
    <mergeCell ref="C9:G11"/>
  </mergeCells>
  <dataValidations>
    <dataValidation type="list" allowBlank="1" showErrorMessage="1" sqref="A17:A23">
      <formula1>"Protectores faciales,Casco,Guantes,Camisas,Protectores térmicos,Botas de seguridad,Gafas,Cuchillas,Cinturon,Protección respiratoria,Chalecos de alta visibilidad,Arneses de seguridad"</formula1>
    </dataValidation>
    <dataValidation type="list" allowBlank="1" showErrorMessage="1" sqref="E17:E23">
      <formula1>"Transporte,Alimentación,Ninguno"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1" width="12.57"/>
  </cols>
  <sheetData>
    <row r="1" ht="15.75" customHeight="1"/>
    <row r="2" ht="15.75" customHeight="1"/>
    <row r="3" ht="15.75" customHeight="1"/>
    <row r="4" ht="15.75" customHeight="1">
      <c r="A4" s="56" t="s">
        <v>9</v>
      </c>
      <c r="B4" s="57"/>
      <c r="C4" s="58" t="str">
        <f>VLOOKUP(A4,Catalogos!$A$2:$E$13,5,FALSE)</f>
        <v>162.50</v>
      </c>
    </row>
    <row r="5" ht="15.75" customHeight="1">
      <c r="A5" s="56" t="s">
        <v>11</v>
      </c>
      <c r="B5" s="57"/>
      <c r="C5" s="58" t="str">
        <f>VLOOKUP(A5,Catalogos!$A$2:$E$13,5,FALSE)</f>
        <v>112.50</v>
      </c>
    </row>
    <row r="6" ht="15.75" customHeight="1">
      <c r="A6" s="56" t="s">
        <v>5</v>
      </c>
      <c r="B6" s="57"/>
      <c r="C6" s="58" t="str">
        <f>VLOOKUP(A6,Catalogos!$A$2:$E$13,5,FALSE)</f>
        <v>208.33</v>
      </c>
    </row>
    <row r="7" ht="15.75" customHeight="1">
      <c r="A7" s="56" t="s">
        <v>13</v>
      </c>
      <c r="B7" s="57"/>
      <c r="C7" s="58" t="str">
        <f>VLOOKUP(A7,Catalogos!$A$2:$E$13,5,FALSE)</f>
        <v>225.00</v>
      </c>
    </row>
    <row r="8" ht="15.75" customHeight="1">
      <c r="A8" s="56" t="s">
        <v>17</v>
      </c>
      <c r="B8" s="57"/>
      <c r="C8" s="58" t="str">
        <f>VLOOKUP(A8,Catalogos!$A$2:$E$13,5,FALSE)</f>
        <v>93.75</v>
      </c>
    </row>
    <row r="9" ht="15.75" customHeight="1">
      <c r="A9" s="56" t="s">
        <v>22</v>
      </c>
      <c r="B9" s="57"/>
      <c r="C9" s="58" t="str">
        <f>VLOOKUP(A9,Catalogos!$A$2:$E$13,5,FALSE)</f>
        <v>500.00</v>
      </c>
    </row>
    <row r="10" ht="15.75" customHeight="1">
      <c r="A10" s="56" t="s">
        <v>19</v>
      </c>
      <c r="B10" s="57"/>
      <c r="C10" s="58" t="str">
        <f>VLOOKUP(A10,Catalogos!$A$2:$E$13,5,FALSE)</f>
        <v>100.00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7">
    <mergeCell ref="A9:B9"/>
    <mergeCell ref="A10:B10"/>
    <mergeCell ref="A4:B4"/>
    <mergeCell ref="A5:B5"/>
    <mergeCell ref="A6:B6"/>
    <mergeCell ref="A7:B7"/>
    <mergeCell ref="A8:B8"/>
  </mergeCells>
  <dataValidations>
    <dataValidation type="list" allowBlank="1" showErrorMessage="1" sqref="A4:A10">
      <formula1>"Protectores faciales,Casco,Guantes,Camisas,Protectores térmicos,Botas de seguridad,Gafas,Cuchillas,Cinturon,Protección respiratoria,Chalecos de alta visibilidad,Arneses de seguridad"</formula1>
    </dataValidation>
  </dataValidations>
  <drawing r:id="rId1"/>
</worksheet>
</file>