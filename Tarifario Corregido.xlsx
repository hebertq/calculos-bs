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s" sheetId="1" r:id="rId4"/>
    <sheet state="visible" name="Tarifario" sheetId="2" r:id="rId5"/>
  </sheets>
  <definedNames/>
  <calcPr/>
</workbook>
</file>

<file path=xl/sharedStrings.xml><?xml version="1.0" encoding="utf-8"?>
<sst xmlns="http://schemas.openxmlformats.org/spreadsheetml/2006/main" count="64" uniqueCount="45">
  <si>
    <t>Nombre</t>
  </si>
  <si>
    <t>Cantidad</t>
  </si>
  <si>
    <t>ProrRateo en meses</t>
  </si>
  <si>
    <t>Costo  unitario</t>
  </si>
  <si>
    <t>Costo  mensual</t>
  </si>
  <si>
    <t>Botas de seguridad</t>
  </si>
  <si>
    <t>Transporte</t>
  </si>
  <si>
    <t>Casco</t>
  </si>
  <si>
    <t>Alimentación</t>
  </si>
  <si>
    <t>Guantes</t>
  </si>
  <si>
    <t>Telefono</t>
  </si>
  <si>
    <t>Camisas</t>
  </si>
  <si>
    <t>Combustible</t>
  </si>
  <si>
    <t>Gafas</t>
  </si>
  <si>
    <t>Depresiasión</t>
  </si>
  <si>
    <t>Cuchillas</t>
  </si>
  <si>
    <t>Ninguno</t>
  </si>
  <si>
    <t>Cinturon</t>
  </si>
  <si>
    <t>Chalecos de alta visibilidad</t>
  </si>
  <si>
    <t>Arneses de seguridad</t>
  </si>
  <si>
    <t>Protectores faciales</t>
  </si>
  <si>
    <t>Protección respiratoria</t>
  </si>
  <si>
    <t>Protectores térmicos</t>
  </si>
  <si>
    <t>Tarifario de costos de facturación por horas laboradas</t>
  </si>
  <si>
    <t>COSTOS UNITARIOS</t>
  </si>
  <si>
    <t>Viaticos</t>
  </si>
  <si>
    <t>EPP</t>
  </si>
  <si>
    <t>Previsto</t>
  </si>
  <si>
    <t>Salario base</t>
  </si>
  <si>
    <t>Utilidad</t>
  </si>
  <si>
    <t>Totales</t>
  </si>
  <si>
    <t>Precio</t>
  </si>
  <si>
    <t>Factor rep</t>
  </si>
  <si>
    <t>Gastos Oerativos</t>
  </si>
  <si>
    <t>Prestaciones</t>
  </si>
  <si>
    <t>Viáticos</t>
  </si>
  <si>
    <t>Epp</t>
  </si>
  <si>
    <t>Supervicion</t>
  </si>
  <si>
    <t>Cargos</t>
  </si>
  <si>
    <t>Seguros</t>
  </si>
  <si>
    <t>Costo mensual</t>
  </si>
  <si>
    <t>Costos Totales</t>
  </si>
  <si>
    <t>Costo diario</t>
  </si>
  <si>
    <t>Costo hora</t>
  </si>
  <si>
    <t>Costo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</si>
</sst>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"/>
    <numFmt numFmtId="165" formatCode="#,##0\ [$€-1]"/>
  </numFmts>
  <fonts count="1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Calibri"/>
    </font>
    <font>
      <b/>
      <sz val="30.0"/>
      <color rgb="FF0B5394"/>
      <name val="Roboto"/>
    </font>
    <font/>
    <font>
      <b/>
      <sz val="12.0"/>
      <color rgb="FF0B5394"/>
      <name val="Roboto"/>
    </font>
    <font>
      <b/>
      <color rgb="FF666666"/>
      <name val="Roboto"/>
    </font>
    <font>
      <b/>
      <sz val="17.0"/>
      <color rgb="FFF46524"/>
      <name val="Raleway"/>
    </font>
    <font>
      <b/>
      <sz val="11.0"/>
      <color rgb="FF334960"/>
      <name val="Lato"/>
    </font>
    <font>
      <b/>
      <sz val="9.0"/>
      <color rgb="FFFFFFFF"/>
      <name val="Roboto"/>
    </font>
    <font>
      <b/>
      <i/>
      <sz val="10.0"/>
      <color rgb="FF687887"/>
      <name val="Roboto"/>
    </font>
    <font>
      <b/>
      <sz val="9.0"/>
      <color rgb="FF434343"/>
      <name val="Roboto"/>
    </font>
    <font>
      <sz val="9.0"/>
      <color rgb="FF434343"/>
      <name val="Roboto"/>
    </font>
    <font>
      <sz val="9.0"/>
      <color theme="1"/>
      <name val="Roboto"/>
    </font>
    <font>
      <b/>
      <sz val="9.0"/>
      <color theme="1"/>
      <name val="Roboto"/>
    </font>
    <font>
      <b/>
      <sz val="9.0"/>
      <color theme="1"/>
      <name val="Calibri"/>
    </font>
    <font>
      <color rgb="FF434343"/>
      <name val="Roboto"/>
    </font>
    <font>
      <color rgb="FF434343"/>
      <name val="La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CECE6"/>
        <bgColor rgb="FFFCECE6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27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bottom style="thick">
        <color rgb="FF0B5394"/>
      </bottom>
    </border>
    <border>
      <bottom style="thin">
        <color rgb="FFD9D9D9"/>
      </bottom>
    </border>
    <border>
      <top style="thin">
        <color rgb="FFA7B0BF"/>
      </top>
    </border>
    <border>
      <left style="thin">
        <color rgb="FF999999"/>
      </left>
    </border>
    <border>
      <right style="thin">
        <color rgb="FF999999"/>
      </right>
    </border>
    <border>
      <bottom style="thin">
        <color rgb="FFA7B0BF"/>
      </bottom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left style="thin">
        <color rgb="FF999999"/>
      </left>
      <bottom style="hair">
        <color rgb="FF999999"/>
      </bottom>
    </border>
    <border>
      <bottom style="hair">
        <color rgb="FF999999"/>
      </bottom>
    </border>
    <border>
      <right style="thin">
        <color rgb="FFD9D9D9"/>
      </right>
      <bottom style="hair">
        <color rgb="FF99999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4" xfId="0" applyAlignment="1" applyBorder="1" applyFont="1" applyNumberFormat="1">
      <alignment shrinkToFit="0" vertical="center" wrapText="0"/>
    </xf>
    <xf borderId="6" fillId="0" fontId="1" numFmtId="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4" xfId="0" applyAlignment="1" applyBorder="1" applyFont="1" applyNumberFormat="1">
      <alignment shrinkToFit="0" vertical="center" wrapText="0"/>
    </xf>
    <xf borderId="9" fillId="0" fontId="1" numFmtId="4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0" fontId="2" numFmtId="0" xfId="0" applyFont="1"/>
    <xf borderId="10" fillId="0" fontId="1" numFmtId="49" xfId="0" applyAlignment="1" applyBorder="1" applyFont="1" applyNumberFormat="1">
      <alignment shrinkToFit="0" vertical="center" wrapText="0"/>
    </xf>
    <xf borderId="11" fillId="0" fontId="1" numFmtId="4" xfId="0" applyAlignment="1" applyBorder="1" applyFont="1" applyNumberFormat="1">
      <alignment shrinkToFit="0" vertical="center" wrapText="0"/>
    </xf>
    <xf borderId="12" fillId="0" fontId="1" numFmtId="4" xfId="0" applyAlignment="1" applyBorder="1" applyFont="1" applyNumberFormat="1">
      <alignment shrinkToFit="0" vertical="center" wrapText="0"/>
    </xf>
    <xf borderId="0" fillId="2" fontId="3" numFmtId="0" xfId="0" applyFill="1" applyFont="1"/>
    <xf borderId="0" fillId="0" fontId="3" numFmtId="0" xfId="0" applyFont="1"/>
    <xf borderId="13" fillId="2" fontId="4" numFmtId="0" xfId="0" applyAlignment="1" applyBorder="1" applyFont="1">
      <alignment shrinkToFit="0" wrapText="1"/>
    </xf>
    <xf borderId="13" fillId="0" fontId="5" numFmtId="0" xfId="0" applyBorder="1" applyFont="1"/>
    <xf borderId="13" fillId="2" fontId="6" numFmtId="0" xfId="0" applyAlignment="1" applyBorder="1" applyFont="1">
      <alignment shrinkToFit="0" wrapText="1"/>
    </xf>
    <xf borderId="0" fillId="0" fontId="7" numFmtId="0" xfId="0" applyAlignment="1" applyFont="1">
      <alignment horizontal="center" vertical="center"/>
    </xf>
    <xf borderId="0" fillId="0" fontId="8" numFmtId="164" xfId="0" applyAlignment="1" applyFont="1" applyNumberFormat="1">
      <alignment vertical="top"/>
    </xf>
    <xf borderId="14" fillId="0" fontId="5" numFmtId="0" xfId="0" applyBorder="1" applyFont="1"/>
    <xf borderId="15" fillId="0" fontId="9" numFmtId="164" xfId="0" applyAlignment="1" applyBorder="1" applyFont="1" applyNumberFormat="1">
      <alignment horizontal="right" vertical="bottom"/>
    </xf>
    <xf borderId="15" fillId="0" fontId="5" numFmtId="0" xfId="0" applyBorder="1" applyFont="1"/>
    <xf borderId="16" fillId="3" fontId="10" numFmtId="0" xfId="0" applyAlignment="1" applyBorder="1" applyFill="1" applyFont="1">
      <alignment horizontal="left"/>
    </xf>
    <xf borderId="0" fillId="3" fontId="10" numFmtId="0" xfId="0" applyAlignment="1" applyFont="1">
      <alignment horizontal="left" readingOrder="0"/>
    </xf>
    <xf borderId="0" fillId="3" fontId="10" numFmtId="0" xfId="0" applyAlignment="1" applyFont="1">
      <alignment horizontal="left"/>
    </xf>
    <xf borderId="17" fillId="3" fontId="10" numFmtId="0" xfId="0" applyAlignment="1" applyBorder="1" applyFont="1">
      <alignment horizontal="left" readingOrder="0"/>
    </xf>
    <xf borderId="0" fillId="0" fontId="11" numFmtId="164" xfId="0" applyAlignment="1" applyFont="1" applyNumberFormat="1">
      <alignment vertical="top"/>
    </xf>
    <xf borderId="18" fillId="0" fontId="11" numFmtId="4" xfId="0" applyAlignment="1" applyBorder="1" applyFont="1" applyNumberFormat="1">
      <alignment horizontal="right" vertical="top"/>
    </xf>
    <xf borderId="18" fillId="0" fontId="11" numFmtId="164" xfId="0" applyAlignment="1" applyBorder="1" applyFont="1" applyNumberFormat="1">
      <alignment vertical="top"/>
    </xf>
    <xf borderId="18" fillId="0" fontId="5" numFmtId="0" xfId="0" applyBorder="1" applyFont="1"/>
    <xf borderId="18" fillId="0" fontId="11" numFmtId="4" xfId="0" applyAlignment="1" applyBorder="1" applyFont="1" applyNumberFormat="1">
      <alignment horizontal="right" readingOrder="0" vertical="top"/>
    </xf>
    <xf borderId="19" fillId="4" fontId="10" numFmtId="0" xfId="0" applyAlignment="1" applyBorder="1" applyFill="1" applyFont="1">
      <alignment horizontal="center"/>
    </xf>
    <xf borderId="20" fillId="0" fontId="5" numFmtId="0" xfId="0" applyBorder="1" applyFont="1"/>
    <xf borderId="21" fillId="5" fontId="12" numFmtId="164" xfId="0" applyBorder="1" applyFill="1" applyFont="1" applyNumberFormat="1"/>
    <xf borderId="22" fillId="0" fontId="5" numFmtId="0" xfId="0" applyBorder="1" applyFont="1"/>
    <xf borderId="5" fillId="5" fontId="13" numFmtId="4" xfId="0" applyAlignment="1" applyBorder="1" applyFont="1" applyNumberFormat="1">
      <alignment horizontal="right"/>
    </xf>
    <xf borderId="5" fillId="5" fontId="13" numFmtId="4" xfId="0" applyAlignment="1" applyBorder="1" applyFont="1" applyNumberFormat="1">
      <alignment horizontal="right" readingOrder="0"/>
    </xf>
    <xf borderId="23" fillId="6" fontId="10" numFmtId="0" xfId="0" applyAlignment="1" applyBorder="1" applyFill="1" applyFont="1">
      <alignment horizontal="center"/>
    </xf>
    <xf borderId="24" fillId="2" fontId="14" numFmtId="2" xfId="0" applyBorder="1" applyFont="1" applyNumberFormat="1"/>
    <xf borderId="24" fillId="2" fontId="14" numFmtId="2" xfId="0" applyAlignment="1" applyBorder="1" applyFont="1" applyNumberFormat="1">
      <alignment readingOrder="0"/>
    </xf>
    <xf borderId="24" fillId="7" fontId="15" numFmtId="0" xfId="0" applyAlignment="1" applyBorder="1" applyFill="1" applyFont="1">
      <alignment horizontal="center"/>
    </xf>
    <xf borderId="25" fillId="7" fontId="16" numFmtId="0" xfId="0" applyAlignment="1" applyBorder="1" applyFont="1">
      <alignment horizontal="center"/>
    </xf>
    <xf borderId="26" fillId="7" fontId="16" numFmtId="0" xfId="0" applyAlignment="1" applyBorder="1" applyFont="1">
      <alignment horizontal="center"/>
    </xf>
    <xf borderId="24" fillId="2" fontId="15" numFmtId="2" xfId="0" applyBorder="1" applyFont="1" applyNumberFormat="1"/>
    <xf borderId="0" fillId="2" fontId="17" numFmtId="0" xfId="0" applyAlignment="1" applyFont="1">
      <alignment shrinkToFit="0" wrapText="1"/>
    </xf>
    <xf borderId="25" fillId="2" fontId="17" numFmtId="0" xfId="0" applyAlignment="1" applyBorder="1" applyFont="1">
      <alignment shrinkToFit="0" wrapText="1"/>
    </xf>
    <xf borderId="0" fillId="0" fontId="18" numFmtId="165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Catalogos-style">
      <tableStyleElement dxfId="1" type="headerRow"/>
      <tableStyleElement dxfId="2" type="firstRowStripe"/>
      <tableStyleElement dxfId="3" type="secondRowStripe"/>
    </tableStyle>
    <tableStyle count="3" pivot="0" name="Catalog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Table_1" name="Table_1" id="1">
  <tableColumns count="5">
    <tableColumn name="Nombre" id="1"/>
    <tableColumn name="Cantidad" id="2"/>
    <tableColumn name="ProrRateo en meses" id="3"/>
    <tableColumn name="Costo  unitario" id="4"/>
    <tableColumn name="Costo  mensual" id="5"/>
  </tableColumns>
  <tableStyleInfo name="Catalogos-style" showColumnStripes="0" showFirstColumn="1" showLastColumn="1" showRowStripes="1"/>
</table>
</file>

<file path=xl/tables/table2.xml><?xml version="1.0" encoding="utf-8"?>
<table xmlns="http://schemas.openxmlformats.org/spreadsheetml/2006/main" ref="H1:I13" displayName="Table_2" name="Table_2" id="2">
  <tableColumns count="2">
    <tableColumn name="Nombre" id="1"/>
    <tableColumn name="Cantidad" id="2"/>
  </tableColumns>
  <tableStyleInfo name="Catalog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12.75"/>
    <col customWidth="1" min="3" max="3" width="17.38"/>
    <col customWidth="1" min="4" max="4" width="16.88"/>
    <col customWidth="1" min="5" max="5" width="15.25"/>
    <col customWidth="1" min="6" max="9" width="12.63"/>
    <col customWidth="1" min="10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1" t="s">
        <v>0</v>
      </c>
      <c r="I1" s="3" t="s">
        <v>1</v>
      </c>
    </row>
    <row r="2" ht="15.75" customHeight="1">
      <c r="A2" s="4" t="s">
        <v>5</v>
      </c>
      <c r="B2" s="5">
        <v>1.0</v>
      </c>
      <c r="C2" s="5">
        <v>12.0</v>
      </c>
      <c r="D2" s="5">
        <v>2500.0</v>
      </c>
      <c r="E2" s="6">
        <f t="shared" ref="E2:E13" si="1">D2/C2</f>
        <v>208.3333333</v>
      </c>
      <c r="G2" s="7"/>
      <c r="H2" s="4" t="s">
        <v>6</v>
      </c>
      <c r="I2" s="6">
        <v>800.0</v>
      </c>
    </row>
    <row r="3" ht="15.75" customHeight="1">
      <c r="A3" s="8" t="s">
        <v>7</v>
      </c>
      <c r="B3" s="9">
        <v>1.0</v>
      </c>
      <c r="C3" s="9">
        <v>6.0</v>
      </c>
      <c r="D3" s="9">
        <v>500.0</v>
      </c>
      <c r="E3" s="10">
        <f t="shared" si="1"/>
        <v>83.33333333</v>
      </c>
      <c r="H3" s="8" t="s">
        <v>8</v>
      </c>
      <c r="I3" s="10">
        <v>1000.0</v>
      </c>
    </row>
    <row r="4" ht="15.75" customHeight="1">
      <c r="A4" s="11" t="s">
        <v>9</v>
      </c>
      <c r="B4" s="5">
        <v>2.0</v>
      </c>
      <c r="C4" s="5">
        <v>4.0</v>
      </c>
      <c r="D4" s="5">
        <v>650.0</v>
      </c>
      <c r="E4" s="6">
        <f t="shared" si="1"/>
        <v>162.5</v>
      </c>
      <c r="H4" s="11" t="s">
        <v>10</v>
      </c>
      <c r="I4" s="6">
        <v>250.0</v>
      </c>
    </row>
    <row r="5" ht="15.75" customHeight="1">
      <c r="A5" s="8" t="s">
        <v>11</v>
      </c>
      <c r="B5" s="9">
        <v>3.0</v>
      </c>
      <c r="C5" s="9">
        <v>4.0</v>
      </c>
      <c r="D5" s="9">
        <v>450.0</v>
      </c>
      <c r="E5" s="10">
        <f t="shared" si="1"/>
        <v>112.5</v>
      </c>
      <c r="H5" s="8" t="s">
        <v>12</v>
      </c>
      <c r="I5" s="10">
        <v>0.0</v>
      </c>
    </row>
    <row r="6" ht="15.75" customHeight="1">
      <c r="A6" s="11" t="s">
        <v>13</v>
      </c>
      <c r="B6" s="5">
        <v>2.0</v>
      </c>
      <c r="C6" s="5">
        <v>4.0</v>
      </c>
      <c r="D6" s="5">
        <v>900.0</v>
      </c>
      <c r="E6" s="6">
        <f t="shared" si="1"/>
        <v>225</v>
      </c>
      <c r="H6" s="11" t="s">
        <v>14</v>
      </c>
      <c r="I6" s="6">
        <v>0.0</v>
      </c>
    </row>
    <row r="7" ht="15.75" customHeight="1">
      <c r="A7" s="8" t="s">
        <v>15</v>
      </c>
      <c r="B7" s="9">
        <v>1.0</v>
      </c>
      <c r="C7" s="9">
        <v>3.0</v>
      </c>
      <c r="D7" s="9">
        <v>200.0</v>
      </c>
      <c r="E7" s="10">
        <f t="shared" si="1"/>
        <v>66.66666667</v>
      </c>
      <c r="H7" s="8" t="s">
        <v>16</v>
      </c>
      <c r="I7" s="12">
        <v>0.0</v>
      </c>
    </row>
    <row r="8" ht="15.75" customHeight="1">
      <c r="A8" s="11" t="s">
        <v>17</v>
      </c>
      <c r="B8" s="5">
        <v>1.0</v>
      </c>
      <c r="C8" s="5">
        <v>8.0</v>
      </c>
      <c r="D8" s="5">
        <v>750.0</v>
      </c>
      <c r="E8" s="6">
        <f t="shared" si="1"/>
        <v>93.75</v>
      </c>
      <c r="H8" s="11"/>
      <c r="I8" s="13"/>
    </row>
    <row r="9" ht="15.75" customHeight="1">
      <c r="A9" s="8" t="s">
        <v>18</v>
      </c>
      <c r="B9" s="9">
        <v>1.0</v>
      </c>
      <c r="C9" s="9">
        <v>4.0</v>
      </c>
      <c r="D9" s="9">
        <v>250.0</v>
      </c>
      <c r="E9" s="10">
        <f t="shared" si="1"/>
        <v>62.5</v>
      </c>
      <c r="H9" s="8"/>
      <c r="I9" s="13"/>
    </row>
    <row r="10" ht="15.75" customHeight="1">
      <c r="A10" s="11" t="s">
        <v>19</v>
      </c>
      <c r="B10" s="5">
        <v>1.0</v>
      </c>
      <c r="C10" s="5">
        <v>6.0</v>
      </c>
      <c r="D10" s="5">
        <v>600.0</v>
      </c>
      <c r="E10" s="6">
        <f t="shared" si="1"/>
        <v>100</v>
      </c>
      <c r="H10" s="11"/>
      <c r="I10" s="13"/>
    </row>
    <row r="11" ht="15.75" customHeight="1">
      <c r="A11" s="8" t="s">
        <v>20</v>
      </c>
      <c r="B11" s="9">
        <v>1.0</v>
      </c>
      <c r="C11" s="9">
        <v>6.0</v>
      </c>
      <c r="D11" s="9">
        <v>800.0</v>
      </c>
      <c r="E11" s="10">
        <f t="shared" si="1"/>
        <v>133.3333333</v>
      </c>
      <c r="H11" s="8"/>
      <c r="I11" s="13"/>
    </row>
    <row r="12" ht="15.75" customHeight="1">
      <c r="A12" s="11" t="s">
        <v>21</v>
      </c>
      <c r="B12" s="5">
        <v>1.0</v>
      </c>
      <c r="C12" s="5">
        <v>6.0</v>
      </c>
      <c r="D12" s="5">
        <v>1500.0</v>
      </c>
      <c r="E12" s="6">
        <f t="shared" si="1"/>
        <v>250</v>
      </c>
      <c r="H12" s="11"/>
      <c r="I12" s="13"/>
    </row>
    <row r="13" ht="15.75" customHeight="1">
      <c r="A13" s="14" t="s">
        <v>22</v>
      </c>
      <c r="B13" s="15">
        <v>1.0</v>
      </c>
      <c r="C13" s="15">
        <v>12.0</v>
      </c>
      <c r="D13" s="15">
        <v>6000.0</v>
      </c>
      <c r="E13" s="16">
        <f t="shared" si="1"/>
        <v>500</v>
      </c>
      <c r="H13" s="14"/>
      <c r="I13" s="1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E13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6.75"/>
    <col customWidth="1" min="8" max="8" width="12.63"/>
    <col customWidth="1" min="9" max="9" width="4.75"/>
    <col customWidth="1" min="10" max="10" width="12.63"/>
    <col customWidth="1" min="11" max="11" width="6.13"/>
    <col customWidth="1" min="12" max="12" width="12.63"/>
    <col customWidth="1" min="13" max="13" width="9.75"/>
    <col customWidth="1" min="14" max="14" width="8.88"/>
    <col customWidth="1" min="15" max="15" width="12.63"/>
    <col customWidth="1" min="16" max="28" width="14.38"/>
  </cols>
  <sheetData>
    <row r="1" ht="15.75" customHeight="1">
      <c r="A1" s="17"/>
      <c r="B1" s="17"/>
      <c r="C1" s="17"/>
      <c r="D1" s="17"/>
      <c r="E1" s="17"/>
      <c r="F1" s="17"/>
      <c r="G1" s="18"/>
      <c r="H1" s="18"/>
      <c r="I1" s="17"/>
      <c r="J1" s="17"/>
      <c r="K1" s="17"/>
      <c r="L1" s="17"/>
      <c r="M1" s="18"/>
      <c r="N1" s="17"/>
      <c r="O1" s="17"/>
    </row>
    <row r="2" ht="40.5" customHeight="1">
      <c r="A2" s="19" t="s">
        <v>23</v>
      </c>
      <c r="B2" s="20"/>
      <c r="C2" s="20"/>
      <c r="D2" s="20"/>
      <c r="E2" s="20"/>
      <c r="F2" s="20"/>
      <c r="G2" s="20"/>
      <c r="H2" s="20"/>
      <c r="I2" s="20"/>
      <c r="J2" s="21"/>
      <c r="K2" s="20"/>
      <c r="L2" s="20"/>
      <c r="M2" s="20"/>
      <c r="N2" s="20"/>
      <c r="O2" s="20"/>
      <c r="P2" s="20"/>
    </row>
    <row r="3" ht="29.25" customHeight="1">
      <c r="A3" s="22" t="s">
        <v>24</v>
      </c>
      <c r="G3" s="18"/>
      <c r="H3" s="23" t="s">
        <v>25</v>
      </c>
      <c r="K3" s="17"/>
      <c r="L3" s="23" t="s">
        <v>26</v>
      </c>
    </row>
    <row r="4" ht="15.75" customHeight="1">
      <c r="A4" s="24"/>
      <c r="B4" s="24"/>
      <c r="C4" s="24"/>
      <c r="D4" s="24"/>
      <c r="E4" s="24"/>
      <c r="F4" s="24"/>
      <c r="G4" s="18"/>
      <c r="H4" s="25" t="s">
        <v>27</v>
      </c>
      <c r="I4" s="26"/>
      <c r="J4" s="26"/>
      <c r="L4" s="25" t="s">
        <v>27</v>
      </c>
      <c r="M4" s="26"/>
      <c r="N4" s="26"/>
      <c r="O4" s="26"/>
      <c r="P4" s="26"/>
    </row>
    <row r="5" ht="15.75" customHeight="1">
      <c r="A5" s="27" t="s">
        <v>28</v>
      </c>
      <c r="B5" s="28">
        <v>9000.0</v>
      </c>
      <c r="C5" s="29"/>
      <c r="D5" s="29"/>
      <c r="E5" s="29" t="s">
        <v>29</v>
      </c>
      <c r="F5" s="30">
        <v>20.0</v>
      </c>
      <c r="G5" s="18"/>
      <c r="H5" s="31" t="s">
        <v>30</v>
      </c>
      <c r="J5" s="32">
        <f>SUM(J6:J12)</f>
        <v>1800</v>
      </c>
      <c r="L5" s="33" t="s">
        <v>30</v>
      </c>
      <c r="M5" s="34"/>
      <c r="N5" s="35" t="s">
        <v>31</v>
      </c>
      <c r="O5" s="35" t="s">
        <v>32</v>
      </c>
      <c r="P5" s="32">
        <f>SUM(P6:P12)</f>
        <v>1472.1875</v>
      </c>
    </row>
    <row r="6" ht="15.75" customHeight="1">
      <c r="A6" s="36" t="s">
        <v>33</v>
      </c>
      <c r="B6" s="37"/>
      <c r="C6" s="37"/>
      <c r="D6" s="37"/>
      <c r="E6" s="37"/>
      <c r="F6" s="37"/>
      <c r="G6" s="18"/>
      <c r="H6" s="38" t="s">
        <v>6</v>
      </c>
      <c r="I6" s="39"/>
      <c r="J6" s="40">
        <f>VLOOKUP(H6,Catalogos!$H$2:$I$13,2,FALSE)</f>
        <v>800</v>
      </c>
      <c r="L6" s="38" t="s">
        <v>9</v>
      </c>
      <c r="M6" s="39"/>
      <c r="N6" s="40">
        <f>VLOOKUP(L6,Catalogos!$A$2:$E$13,5,FALSE)</f>
        <v>162.5</v>
      </c>
      <c r="O6" s="41">
        <v>0.05</v>
      </c>
      <c r="P6" s="40">
        <f t="shared" ref="P6:P12" si="1">(N6*O6)+N6</f>
        <v>170.625</v>
      </c>
    </row>
    <row r="7" ht="15.75" customHeight="1">
      <c r="A7" s="42" t="s">
        <v>34</v>
      </c>
      <c r="B7" s="42" t="s">
        <v>35</v>
      </c>
      <c r="C7" s="42" t="s">
        <v>36</v>
      </c>
      <c r="D7" s="42" t="s">
        <v>37</v>
      </c>
      <c r="E7" s="42" t="s">
        <v>38</v>
      </c>
      <c r="F7" s="42" t="s">
        <v>39</v>
      </c>
      <c r="G7" s="18"/>
      <c r="H7" s="38" t="s">
        <v>8</v>
      </c>
      <c r="I7" s="39"/>
      <c r="J7" s="40">
        <f>VLOOKUP(H7,Catalogos!$H$2:$I$13,2,FALSE)</f>
        <v>1000</v>
      </c>
      <c r="L7" s="38" t="s">
        <v>11</v>
      </c>
      <c r="M7" s="39"/>
      <c r="N7" s="40">
        <f>VLOOKUP(L7,Catalogos!$A$2:$E$13,5,FALSE)</f>
        <v>112.5</v>
      </c>
      <c r="O7" s="41">
        <v>0.05</v>
      </c>
      <c r="P7" s="40">
        <f t="shared" si="1"/>
        <v>118.125</v>
      </c>
    </row>
    <row r="8" ht="15.75" customHeight="1">
      <c r="A8" s="43">
        <f>(B5*0.743)</f>
        <v>6687</v>
      </c>
      <c r="B8" s="43">
        <f>J5</f>
        <v>1800</v>
      </c>
      <c r="C8" s="43">
        <f>P5</f>
        <v>1472.1875</v>
      </c>
      <c r="D8" s="43">
        <v>1000.0</v>
      </c>
      <c r="E8" s="44">
        <v>500.0</v>
      </c>
      <c r="F8" s="43">
        <v>300.0</v>
      </c>
      <c r="G8" s="18"/>
      <c r="H8" s="38" t="s">
        <v>16</v>
      </c>
      <c r="I8" s="39"/>
      <c r="J8" s="40">
        <f>VLOOKUP(H8,Catalogos!$H$2:$I$13,2,FALSE)</f>
        <v>0</v>
      </c>
      <c r="L8" s="38" t="s">
        <v>5</v>
      </c>
      <c r="M8" s="39"/>
      <c r="N8" s="40">
        <f>VLOOKUP(L8,Catalogos!$A$2:$E$13,5,FALSE)</f>
        <v>208.3333333</v>
      </c>
      <c r="O8" s="41">
        <v>0.05</v>
      </c>
      <c r="P8" s="40">
        <f t="shared" si="1"/>
        <v>218.75</v>
      </c>
    </row>
    <row r="9" ht="15.75" customHeight="1">
      <c r="A9" s="45" t="s">
        <v>40</v>
      </c>
      <c r="B9" s="46" t="s">
        <v>29</v>
      </c>
      <c r="C9" s="46" t="s">
        <v>41</v>
      </c>
      <c r="D9" s="46" t="s">
        <v>42</v>
      </c>
      <c r="E9" s="46" t="s">
        <v>43</v>
      </c>
      <c r="F9" s="47" t="s">
        <v>44</v>
      </c>
      <c r="G9" s="18"/>
      <c r="H9" s="38" t="s">
        <v>16</v>
      </c>
      <c r="I9" s="39"/>
      <c r="J9" s="40">
        <f>VLOOKUP(H9,Catalogos!$H$2:$I$13,2,FALSE)</f>
        <v>0</v>
      </c>
      <c r="L9" s="38" t="s">
        <v>13</v>
      </c>
      <c r="M9" s="39"/>
      <c r="N9" s="40">
        <f>VLOOKUP(L9,Catalogos!$A$2:$E$13,5,FALSE)</f>
        <v>225</v>
      </c>
      <c r="O9" s="41">
        <v>0.05</v>
      </c>
      <c r="P9" s="40">
        <f t="shared" si="1"/>
        <v>236.25</v>
      </c>
    </row>
    <row r="10" ht="15.75" customHeight="1">
      <c r="A10" s="48">
        <f>A8+B8+C8+D8+E8+F8+B5</f>
        <v>20759.1875</v>
      </c>
      <c r="B10" s="48">
        <f>(B5/(1-(F5/100)))-B5</f>
        <v>2250</v>
      </c>
      <c r="C10" s="48">
        <f>A10+B10</f>
        <v>23009.1875</v>
      </c>
      <c r="D10" s="48">
        <f>C10/30</f>
        <v>766.9729167</v>
      </c>
      <c r="E10" s="48">
        <f>D10/8</f>
        <v>95.87161458</v>
      </c>
      <c r="F10" s="48">
        <f>((B5/30)/8)+E10</f>
        <v>133.3716146</v>
      </c>
      <c r="G10" s="49"/>
      <c r="H10" s="38" t="s">
        <v>16</v>
      </c>
      <c r="I10" s="39"/>
      <c r="J10" s="40">
        <f>VLOOKUP(H10,Catalogos!$H$2:$I$13,2,FALSE)</f>
        <v>0</v>
      </c>
      <c r="L10" s="38" t="s">
        <v>17</v>
      </c>
      <c r="M10" s="39"/>
      <c r="N10" s="40">
        <f>VLOOKUP(L10,Catalogos!$A$2:$E$13,5,FALSE)</f>
        <v>93.75</v>
      </c>
      <c r="O10" s="41">
        <v>0.05</v>
      </c>
      <c r="P10" s="40">
        <f t="shared" si="1"/>
        <v>98.4375</v>
      </c>
    </row>
    <row r="11" ht="15.75" customHeight="1">
      <c r="A11" s="50"/>
      <c r="B11" s="50"/>
      <c r="C11" s="50"/>
      <c r="D11" s="50"/>
      <c r="E11" s="50"/>
      <c r="F11" s="50"/>
      <c r="G11" s="50"/>
      <c r="H11" s="38" t="s">
        <v>16</v>
      </c>
      <c r="I11" s="39"/>
      <c r="J11" s="40">
        <f>VLOOKUP(H11,Catalogos!$H$2:$I$13,2,FALSE)</f>
        <v>0</v>
      </c>
      <c r="L11" s="38" t="s">
        <v>22</v>
      </c>
      <c r="M11" s="39"/>
      <c r="N11" s="40">
        <f>VLOOKUP(L11,Catalogos!$A$2:$E$13,5,FALSE)</f>
        <v>500</v>
      </c>
      <c r="O11" s="41">
        <v>0.05</v>
      </c>
      <c r="P11" s="40">
        <f t="shared" si="1"/>
        <v>525</v>
      </c>
    </row>
    <row r="12" ht="15.75" customHeight="1">
      <c r="H12" s="38" t="s">
        <v>16</v>
      </c>
      <c r="I12" s="39"/>
      <c r="J12" s="40">
        <f>VLOOKUP(H12,Catalogos!$H$2:$I$13,2,FALSE)</f>
        <v>0</v>
      </c>
      <c r="L12" s="38" t="s">
        <v>19</v>
      </c>
      <c r="M12" s="39"/>
      <c r="N12" s="40">
        <f>VLOOKUP(L12,Catalogos!$A$2:$E$13,5,FALSE)</f>
        <v>100</v>
      </c>
      <c r="O12" s="41">
        <v>0.05</v>
      </c>
      <c r="P12" s="40">
        <f t="shared" si="1"/>
        <v>105</v>
      </c>
    </row>
    <row r="13" ht="15.75" customHeight="1"/>
    <row r="14" ht="15.75" customHeight="1"/>
    <row r="15" ht="15.75" customHeight="1"/>
    <row r="16" ht="15.75" customHeight="1">
      <c r="F16" s="51" t="str">
        <f t="shared" ref="F16:F22" si="2">IF(ISBLANK($M6), "", SUMIF(Transacciones!$E:$E,$M6,Transacciones!$C:$C))</f>
        <v/>
      </c>
    </row>
    <row r="17" ht="15.75" customHeight="1">
      <c r="F17" s="51" t="str">
        <f t="shared" si="2"/>
        <v/>
      </c>
    </row>
    <row r="18" ht="15.75" customHeight="1">
      <c r="F18" s="51" t="str">
        <f t="shared" si="2"/>
        <v/>
      </c>
    </row>
    <row r="19" ht="15.75" customHeight="1">
      <c r="F19" s="51" t="str">
        <f t="shared" si="2"/>
        <v/>
      </c>
    </row>
    <row r="20" ht="15.75" customHeight="1">
      <c r="F20" s="51" t="str">
        <f t="shared" si="2"/>
        <v/>
      </c>
    </row>
    <row r="21" ht="15.75" customHeight="1">
      <c r="F21" s="51" t="str">
        <f t="shared" si="2"/>
        <v/>
      </c>
    </row>
    <row r="22" ht="15.75" customHeight="1">
      <c r="F22" s="51" t="str">
        <f t="shared" si="2"/>
        <v/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H11:I11"/>
    <mergeCell ref="H12:I12"/>
    <mergeCell ref="L9:M9"/>
    <mergeCell ref="L10:M10"/>
    <mergeCell ref="L11:M11"/>
    <mergeCell ref="L12:M12"/>
    <mergeCell ref="H8:I8"/>
    <mergeCell ref="H9:I9"/>
    <mergeCell ref="H10:I10"/>
    <mergeCell ref="H5:I5"/>
    <mergeCell ref="H6:I6"/>
    <mergeCell ref="L5:M5"/>
    <mergeCell ref="L6:M6"/>
    <mergeCell ref="L8:M8"/>
    <mergeCell ref="H3:J3"/>
    <mergeCell ref="L3:P3"/>
    <mergeCell ref="A2:I2"/>
    <mergeCell ref="A3:F4"/>
    <mergeCell ref="A6:F6"/>
    <mergeCell ref="H4:J4"/>
    <mergeCell ref="H7:I7"/>
    <mergeCell ref="L7:M7"/>
    <mergeCell ref="L4:P4"/>
    <mergeCell ref="J2:P2"/>
  </mergeCells>
  <dataValidations>
    <dataValidation type="list" allowBlank="1" showErrorMessage="1" sqref="L6:L12">
      <formula1>"Protectores faciales,Casco,Guantes,Camisas,Protectores térmicos,Botas de seguridad,Gafas,Cuchillas,Cinturon,Protección respiratoria,Chalecos de alta visibilidad,Arneses de seguridad"</formula1>
    </dataValidation>
    <dataValidation type="list" allowBlank="1" showErrorMessage="1" sqref="H6:H12">
      <formula1>"Transporte,Alimentación,Ninguno"</formula1>
    </dataValidation>
  </dataValidations>
  <drawing r:id="rId1"/>
</worksheet>
</file>